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7b0905b33e1f80d/Teaching/FPTU/Spring26/DAP391m_PBL_RBL_SP2026/"/>
    </mc:Choice>
  </mc:AlternateContent>
  <xr:revisionPtr revIDLastSave="5" documentId="13_ncr:1_{22B477D5-C917-4169-8FC2-63894C898D0C}" xr6:coauthVersionLast="47" xr6:coauthVersionMax="47" xr10:uidLastSave="{E0D08B64-09DB-4CB5-BB9C-3ABBADE50371}"/>
  <bookViews>
    <workbookView xWindow="28680" yWindow="-120" windowWidth="29040" windowHeight="15720" activeTab="2" xr2:uid="{00000000-000D-0000-FFFF-FFFF00000000}"/>
  </bookViews>
  <sheets>
    <sheet name="Grade" sheetId="3" r:id="rId1"/>
    <sheet name="ListStudentClass" sheetId="1" r:id="rId2"/>
    <sheet name="Rubrics" sheetId="2" r:id="rId3"/>
  </sheets>
  <definedNames>
    <definedName name="_xlnm._FilterDatabase" localSheetId="1" hidden="1">ListStudentClass!$A$1:$E$35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+550CRuugq2igaWeKCb/Xi6nfgIJtTk/UC0eDuLYFDQ="/>
    </ext>
  </extLst>
</workbook>
</file>

<file path=xl/calcChain.xml><?xml version="1.0" encoding="utf-8"?>
<calcChain xmlns="http://schemas.openxmlformats.org/spreadsheetml/2006/main">
  <c r="D10" i="2" l="1"/>
  <c r="D5" i="3" a="1"/>
  <c r="D5" i="3" s="1"/>
  <c r="D6" i="3" a="1"/>
  <c r="D6" i="3" s="1"/>
  <c r="D7" i="3" a="1"/>
  <c r="D7" i="3" s="1"/>
  <c r="D8" i="3" a="1"/>
  <c r="D8" i="3" s="1"/>
  <c r="D9" i="3" a="1"/>
  <c r="D9" i="3" s="1"/>
  <c r="D10" i="3" a="1"/>
  <c r="D10" i="3" s="1"/>
  <c r="D11" i="3" a="1"/>
  <c r="D11" i="3" s="1"/>
  <c r="D12" i="3" a="1"/>
  <c r="D12" i="3" s="1"/>
  <c r="D4" i="3" a="1"/>
  <c r="D4" i="3" s="1"/>
  <c r="E3" i="1" s="1"/>
  <c r="E2" i="1" l="1"/>
  <c r="E5" i="1"/>
  <c r="E4" i="1"/>
  <c r="B6" i="3" l="1"/>
  <c r="B7" i="3"/>
  <c r="B8" i="3"/>
  <c r="B9" i="3"/>
  <c r="B11" i="3"/>
  <c r="B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<sst xmlns="http://schemas.openxmlformats.org/spreadsheetml/2006/main" count="94" uniqueCount="59">
  <si>
    <t>Email</t>
  </si>
  <si>
    <t>Group</t>
  </si>
  <si>
    <t>StudentName</t>
  </si>
  <si>
    <t>Group 8</t>
  </si>
  <si>
    <t>Group 1</t>
  </si>
  <si>
    <t>Mai Hoàng Minh Tuấn</t>
  </si>
  <si>
    <t>Group 2</t>
  </si>
  <si>
    <t>Group 6</t>
  </si>
  <si>
    <t>Group 3</t>
  </si>
  <si>
    <t>Group 4</t>
  </si>
  <si>
    <t>Group 7</t>
  </si>
  <si>
    <t>Group 5</t>
  </si>
  <si>
    <t>Group 9</t>
  </si>
  <si>
    <t>Lại Thanh Hưng</t>
  </si>
  <si>
    <t>Nguyễn Nam Anh</t>
  </si>
  <si>
    <t>Phạm Phú Đức</t>
  </si>
  <si>
    <t>#</t>
  </si>
  <si>
    <t>Evaluation criteria</t>
  </si>
  <si>
    <t>Descriptions</t>
  </si>
  <si>
    <t>Max. points</t>
  </si>
  <si>
    <t>Final report document</t>
  </si>
  <si>
    <t>Q&amp;A</t>
  </si>
  <si>
    <t>Total (in scale 100)</t>
  </si>
  <si>
    <t>Number of students</t>
  </si>
  <si>
    <t>Topic</t>
  </si>
  <si>
    <t>Note</t>
  </si>
  <si>
    <t xml:space="preserve">  </t>
  </si>
  <si>
    <t>Contribution</t>
  </si>
  <si>
    <t>Final Project grade</t>
  </si>
  <si>
    <t>tuanmhmse191887@fpt.edu.vn</t>
  </si>
  <si>
    <t>hungltse194143@fpt.edu.vn</t>
  </si>
  <si>
    <t>anhnnse194954@fpt.edu.vn</t>
  </si>
  <si>
    <t>ducppse194348@fpt.edu.vn</t>
  </si>
  <si>
    <t>Total</t>
  </si>
  <si>
    <r>
      <t xml:space="preserve">Q&amp;A </t>
    </r>
    <r>
      <rPr>
        <b/>
        <sz val="12"/>
        <color rgb="FFFF0000"/>
        <rFont val="Times New Roman"/>
        <family val="1"/>
      </rPr>
      <t>(20)</t>
    </r>
  </si>
  <si>
    <r>
      <t xml:space="preserve">Final report document 
</t>
    </r>
    <r>
      <rPr>
        <b/>
        <sz val="12"/>
        <color rgb="FFFF0000"/>
        <rFont val="Times New Roman"/>
        <family val="1"/>
      </rPr>
      <t>(10)</t>
    </r>
  </si>
  <si>
    <t>Cho điểm theo dòng màu xanh trang tính sẽ chuyển thànhđiểm số. 
KHÔNG SỬA GIÁ TRỊ DÒNG 2 VÀ 3</t>
  </si>
  <si>
    <t>Trọng số</t>
  </si>
  <si>
    <t>Điểm đánh giá Max</t>
  </si>
  <si>
    <t>Business Understanding, Data Collection, Understanding, Preparation</t>
  </si>
  <si>
    <t>Data Analysis</t>
  </si>
  <si>
    <t>Data Visualization in advanced</t>
  </si>
  <si>
    <t>Chatbot: Create and integrate</t>
  </si>
  <si>
    <t>Build model for prediction</t>
  </si>
  <si>
    <t>Develop applications and AI powered solutions.</t>
  </si>
  <si>
    <r>
      <t xml:space="preserve">Business Understanding, Data Collection, Understanding, Preparation </t>
    </r>
    <r>
      <rPr>
        <b/>
        <sz val="12"/>
        <color rgb="FFFF0000"/>
        <rFont val="Times New Roman"/>
        <family val="1"/>
      </rPr>
      <t>(5)</t>
    </r>
  </si>
  <si>
    <r>
      <t xml:space="preserve">Data Analysis </t>
    </r>
    <r>
      <rPr>
        <b/>
        <sz val="12"/>
        <color rgb="FFFF0000"/>
        <rFont val="Times New Roman"/>
        <family val="1"/>
      </rPr>
      <t>(5)</t>
    </r>
  </si>
  <si>
    <r>
      <t xml:space="preserve">Data Visualization in advanced </t>
    </r>
    <r>
      <rPr>
        <b/>
        <sz val="12"/>
        <color rgb="FFFF0000"/>
        <rFont val="Times New Roman"/>
        <family val="1"/>
      </rPr>
      <t>(20)</t>
    </r>
  </si>
  <si>
    <r>
      <t xml:space="preserve">Chatbot: Create and integrate </t>
    </r>
    <r>
      <rPr>
        <b/>
        <sz val="12"/>
        <color rgb="FFFF0000"/>
        <rFont val="Times New Roman"/>
        <family val="1"/>
      </rPr>
      <t>(10)</t>
    </r>
  </si>
  <si>
    <r>
      <t xml:space="preserve">Build model for prediction </t>
    </r>
    <r>
      <rPr>
        <b/>
        <sz val="12"/>
        <color rgb="FFFF0000"/>
        <rFont val="Times New Roman"/>
        <family val="1"/>
      </rPr>
      <t>(5)</t>
    </r>
  </si>
  <si>
    <r>
      <t xml:space="preserve">Develop applications and AI powered solutions. </t>
    </r>
    <r>
      <rPr>
        <b/>
        <sz val="12"/>
        <color rgb="FFFF0000"/>
        <rFont val="Times New Roman"/>
        <family val="1"/>
      </rPr>
      <t>(25)</t>
    </r>
  </si>
  <si>
    <t>Final Report (LaTex &amp; Slides): clear structure, figures/tables, and proper references.</t>
  </si>
  <si>
    <t>Evaluate understanding of the problem context, data collection approach, and data preprocessing steps.</t>
  </si>
  <si>
    <t>Assess the use of appropriate analytical techniques to derive meaningful insights from data.</t>
  </si>
  <si>
    <t>Evaluate the effectiveness and appropriateness of advanced visualizations in communicating insights.</t>
  </si>
  <si>
    <t>Assess the development and integration of a functional chatbot aligned with project objectives.</t>
  </si>
  <si>
    <t>Evaluate the selection and application of predictive models relevant to the project problem.</t>
  </si>
  <si>
    <t>Assess the design and implementation of applications integrating data analysis and AI components.</t>
  </si>
  <si>
    <t>Evaluate students’ understanding, justification of decisions, and responsible use of digital and AI tools.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</si>
</sst>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b/>
      <sz val="12"/>
      <color rgb="FF000000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8" fillId="0" borderId="0" applyNumberFormat="0" applyFill="0" applyBorder="0" applyAlignment="0" applyProtection="0"/>
    <xf numFmtId="0" fontId="14" fillId="0" borderId="0"/>
  </cellStyleXfs>
  <cellXfs count="34">
    <xf numFmtId="0" fontId="0" fillId="0" borderId="0" xfId="0"/>
    <xf numFmtId="0" fontId="4" fillId="0" borderId="0" xfId="1"/>
    <xf numFmtId="0" fontId="3" fillId="0" borderId="0" xfId="2"/>
    <xf numFmtId="0" fontId="3" fillId="0" borderId="0" xfId="2" applyAlignment="1">
      <alignment vertical="center"/>
    </xf>
    <xf numFmtId="164" fontId="0" fillId="0" borderId="0" xfId="0" applyNumberFormat="1"/>
    <xf numFmtId="164" fontId="0" fillId="0" borderId="1" xfId="0" applyNumberFormat="1" applyBorder="1"/>
    <xf numFmtId="0" fontId="8" fillId="3" borderId="1" xfId="3" applyFill="1" applyBorder="1"/>
    <xf numFmtId="0" fontId="2" fillId="3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6" fillId="3" borderId="1" xfId="2" applyFont="1" applyFill="1" applyBorder="1" applyAlignment="1">
      <alignment horizontal="center" wrapText="1"/>
    </xf>
    <xf numFmtId="0" fontId="6" fillId="2" borderId="1" xfId="2" applyFont="1" applyFill="1" applyBorder="1" applyAlignment="1">
      <alignment horizontal="center"/>
    </xf>
    <xf numFmtId="0" fontId="6" fillId="2" borderId="1" xfId="2" applyFont="1" applyFill="1" applyBorder="1"/>
    <xf numFmtId="164" fontId="6" fillId="2" borderId="1" xfId="2" applyNumberFormat="1" applyFont="1" applyFill="1" applyBorder="1"/>
    <xf numFmtId="0" fontId="11" fillId="2" borderId="1" xfId="2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4" borderId="1" xfId="2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9" fontId="5" fillId="4" borderId="1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9" fontId="0" fillId="3" borderId="1" xfId="0" applyNumberFormat="1" applyFill="1" applyBorder="1"/>
    <xf numFmtId="0" fontId="5" fillId="0" borderId="1" xfId="0" applyFont="1" applyBorder="1"/>
    <xf numFmtId="0" fontId="5" fillId="4" borderId="1" xfId="0" applyFont="1" applyFill="1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6" fillId="0" borderId="7" xfId="0" applyFont="1" applyBorder="1" applyAlignment="1">
      <alignment vertical="center"/>
    </xf>
    <xf numFmtId="0" fontId="11" fillId="0" borderId="1" xfId="0" applyFont="1" applyBorder="1"/>
    <xf numFmtId="0" fontId="12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</cellXfs>
  <cellStyles count="5">
    <cellStyle name="Hyperlink" xfId="3" builtinId="8"/>
    <cellStyle name="Normal" xfId="0" builtinId="0"/>
    <cellStyle name="Normal 2" xfId="1" xr:uid="{00000000-0005-0000-0000-000002000000}"/>
    <cellStyle name="Normal 2 2" xfId="4" xr:uid="{1D105BBA-79CD-43BC-B37E-28EA8ADED8E8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nhnnse194954@fpt.edu.vn" TargetMode="External"/><Relationship Id="rId2" Type="http://schemas.openxmlformats.org/officeDocument/2006/relationships/hyperlink" Target="mailto:hungltse194143@fpt.edu.vn" TargetMode="External"/><Relationship Id="rId1" Type="http://schemas.openxmlformats.org/officeDocument/2006/relationships/hyperlink" Target="mailto:tuanmhmse191887@fpt.edu.vn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ducppse194348@fp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zoomScale="190" zoomScaleNormal="190" workbookViewId="0">
      <pane ySplit="1" topLeftCell="A2" activePane="bottomLeft" state="frozen"/>
      <selection pane="bottomLeft" activeCell="C17" sqref="C17"/>
    </sheetView>
  </sheetViews>
  <sheetFormatPr defaultColWidth="9.109375" defaultRowHeight="14.4" x14ac:dyDescent="0.3"/>
  <cols>
    <col min="1" max="1" width="9.109375" style="2"/>
    <col min="2" max="2" width="11.109375" style="2" customWidth="1"/>
    <col min="3" max="3" width="31.44140625" style="2" customWidth="1"/>
    <col min="4" max="4" width="20.5546875" style="2" customWidth="1"/>
    <col min="5" max="5" width="15.77734375" style="2" customWidth="1"/>
    <col min="6" max="6" width="17.5546875" style="2" customWidth="1"/>
    <col min="7" max="7" width="14.33203125" style="2" customWidth="1"/>
    <col min="8" max="8" width="14.109375" style="2" customWidth="1"/>
    <col min="9" max="9" width="15.6640625" style="2" customWidth="1"/>
    <col min="10" max="10" width="13.88671875" style="2" customWidth="1"/>
    <col min="11" max="11" width="14" style="2" customWidth="1"/>
    <col min="12" max="12" width="10.77734375" style="2" customWidth="1"/>
    <col min="13" max="13" width="36.77734375" style="2" customWidth="1"/>
    <col min="14" max="16384" width="9.109375" style="2"/>
  </cols>
  <sheetData>
    <row r="1" spans="1:13" s="3" customFormat="1" ht="93.6" x14ac:dyDescent="0.3">
      <c r="A1" s="16" t="s">
        <v>1</v>
      </c>
      <c r="B1" s="16" t="s">
        <v>23</v>
      </c>
      <c r="C1" s="16" t="s">
        <v>24</v>
      </c>
      <c r="D1" s="17" t="s">
        <v>33</v>
      </c>
      <c r="E1" s="17" t="s">
        <v>35</v>
      </c>
      <c r="F1" s="17" t="s">
        <v>45</v>
      </c>
      <c r="G1" s="17" t="s">
        <v>46</v>
      </c>
      <c r="H1" s="17" t="s">
        <v>47</v>
      </c>
      <c r="I1" s="17" t="s">
        <v>48</v>
      </c>
      <c r="J1" s="17" t="s">
        <v>49</v>
      </c>
      <c r="K1" s="17" t="s">
        <v>50</v>
      </c>
      <c r="L1" s="17" t="s">
        <v>34</v>
      </c>
      <c r="M1" s="17" t="s">
        <v>25</v>
      </c>
    </row>
    <row r="2" spans="1:13" s="3" customFormat="1" ht="15.6" x14ac:dyDescent="0.3">
      <c r="A2" s="28" t="s">
        <v>36</v>
      </c>
      <c r="B2" s="29"/>
      <c r="C2" s="30"/>
      <c r="D2" s="19" t="s">
        <v>38</v>
      </c>
      <c r="E2" s="17">
        <v>10</v>
      </c>
      <c r="F2" s="17">
        <v>10</v>
      </c>
      <c r="G2" s="17">
        <v>10</v>
      </c>
      <c r="H2" s="17">
        <v>10</v>
      </c>
      <c r="I2" s="17">
        <v>10</v>
      </c>
      <c r="J2" s="17">
        <v>10</v>
      </c>
      <c r="K2" s="17">
        <v>10</v>
      </c>
      <c r="L2" s="17">
        <v>10</v>
      </c>
      <c r="M2" s="17"/>
    </row>
    <row r="3" spans="1:13" s="3" customFormat="1" ht="15.6" x14ac:dyDescent="0.3">
      <c r="A3" s="31"/>
      <c r="B3" s="32"/>
      <c r="C3" s="33"/>
      <c r="D3" s="19" t="s">
        <v>37</v>
      </c>
      <c r="E3" s="18">
        <v>0.1</v>
      </c>
      <c r="F3" s="18">
        <v>0.05</v>
      </c>
      <c r="G3" s="18">
        <v>0.05</v>
      </c>
      <c r="H3" s="18">
        <v>0.2</v>
      </c>
      <c r="I3" s="18">
        <v>0.1</v>
      </c>
      <c r="J3" s="18">
        <v>0.05</v>
      </c>
      <c r="K3" s="18">
        <v>0.25</v>
      </c>
      <c r="L3" s="18">
        <v>0.2</v>
      </c>
      <c r="M3" s="17"/>
    </row>
    <row r="4" spans="1:13" ht="15.6" x14ac:dyDescent="0.3">
      <c r="A4" s="10" t="s">
        <v>4</v>
      </c>
      <c r="B4" s="10">
        <f>COUNTIF(ListStudentClass!B:B,Grade!A4)</f>
        <v>4</v>
      </c>
      <c r="C4" s="10"/>
      <c r="D4" s="10" cm="1">
        <f t="array" ref="D4">SUMPRODUCT(E4:L4/$E$2:$L$2,$E$3:$L$3)*10</f>
        <v>10</v>
      </c>
      <c r="E4" s="11">
        <v>10</v>
      </c>
      <c r="F4" s="11">
        <v>10</v>
      </c>
      <c r="G4" s="11">
        <v>10</v>
      </c>
      <c r="H4" s="11">
        <v>10</v>
      </c>
      <c r="I4" s="11">
        <v>10</v>
      </c>
      <c r="J4" s="11">
        <v>10</v>
      </c>
      <c r="K4" s="12">
        <v>10</v>
      </c>
      <c r="L4" s="13">
        <v>10</v>
      </c>
      <c r="M4" s="12"/>
    </row>
    <row r="5" spans="1:13" ht="15.6" x14ac:dyDescent="0.3">
      <c r="A5" s="10" t="s">
        <v>6</v>
      </c>
      <c r="B5" s="10">
        <v>2</v>
      </c>
      <c r="C5" s="10"/>
      <c r="D5" s="10" cm="1">
        <f t="array" ref="D5">SUMPRODUCT(E5:L5/$E$2:$L$2,$E$3:$L$3)*10</f>
        <v>6.05</v>
      </c>
      <c r="E5" s="11">
        <v>8</v>
      </c>
      <c r="F5" s="11">
        <v>7</v>
      </c>
      <c r="G5" s="11">
        <v>10</v>
      </c>
      <c r="H5" s="11">
        <v>5</v>
      </c>
      <c r="I5" s="11">
        <v>6</v>
      </c>
      <c r="J5" s="11">
        <v>7</v>
      </c>
      <c r="K5" s="12">
        <v>5</v>
      </c>
      <c r="L5" s="13">
        <v>6</v>
      </c>
      <c r="M5" s="12"/>
    </row>
    <row r="6" spans="1:13" ht="15.6" x14ac:dyDescent="0.3">
      <c r="A6" s="10" t="s">
        <v>8</v>
      </c>
      <c r="B6" s="10">
        <f>COUNTIF(ListStudentClass!B:B,Grade!A6)</f>
        <v>4</v>
      </c>
      <c r="C6" s="10"/>
      <c r="D6" s="10" cm="1">
        <f t="array" ref="D6">SUMPRODUCT(E6:L6/$E$2:$L$2,$E$3:$L$3)*10</f>
        <v>0</v>
      </c>
      <c r="E6" s="11"/>
      <c r="F6" s="11"/>
      <c r="G6" s="11"/>
      <c r="H6" s="11"/>
      <c r="I6" s="11"/>
      <c r="J6" s="11"/>
      <c r="K6" s="12"/>
      <c r="L6" s="13"/>
      <c r="M6" s="12"/>
    </row>
    <row r="7" spans="1:13" ht="15.6" x14ac:dyDescent="0.3">
      <c r="A7" s="10" t="s">
        <v>9</v>
      </c>
      <c r="B7" s="10">
        <f>COUNTIF(ListStudentClass!B:B,Grade!A7)</f>
        <v>4</v>
      </c>
      <c r="C7" s="10"/>
      <c r="D7" s="10" cm="1">
        <f t="array" ref="D7">SUMPRODUCT(E7:L7/$E$2:$L$2,$E$3:$L$3)*10</f>
        <v>0</v>
      </c>
      <c r="E7" s="11"/>
      <c r="F7" s="11"/>
      <c r="G7" s="11"/>
      <c r="H7" s="11"/>
      <c r="I7" s="11"/>
      <c r="J7" s="11"/>
      <c r="K7" s="12"/>
      <c r="L7" s="13"/>
      <c r="M7" s="12"/>
    </row>
    <row r="8" spans="1:13" ht="15.6" x14ac:dyDescent="0.3">
      <c r="A8" s="10" t="s">
        <v>11</v>
      </c>
      <c r="B8" s="10">
        <f>COUNTIF(ListStudentClass!B:B,Grade!A8)</f>
        <v>3</v>
      </c>
      <c r="C8" s="10"/>
      <c r="D8" s="10" cm="1">
        <f t="array" ref="D8">SUMPRODUCT(E8:L8/$E$2:$L$2,$E$3:$L$3)*10</f>
        <v>0</v>
      </c>
      <c r="E8" s="11"/>
      <c r="F8" s="11"/>
      <c r="G8" s="11"/>
      <c r="H8" s="11"/>
      <c r="I8" s="11"/>
      <c r="J8" s="11"/>
      <c r="K8" s="12"/>
      <c r="L8" s="13"/>
      <c r="M8" s="12"/>
    </row>
    <row r="9" spans="1:13" ht="15.6" x14ac:dyDescent="0.3">
      <c r="A9" s="10" t="s">
        <v>7</v>
      </c>
      <c r="B9" s="10">
        <f>COUNTIF(ListStudentClass!B:B,Grade!A9)</f>
        <v>4</v>
      </c>
      <c r="C9" s="10"/>
      <c r="D9" s="10" cm="1">
        <f t="array" ref="D9">SUMPRODUCT(E9:L9/$E$2:$L$2,$E$3:$L$3)*10</f>
        <v>0</v>
      </c>
      <c r="E9" s="11"/>
      <c r="F9" s="11"/>
      <c r="G9" s="11"/>
      <c r="H9" s="11"/>
      <c r="I9" s="11"/>
      <c r="J9" s="11"/>
      <c r="K9" s="12"/>
      <c r="L9" s="13"/>
      <c r="M9" s="12"/>
    </row>
    <row r="10" spans="1:13" ht="15.6" x14ac:dyDescent="0.3">
      <c r="A10" s="10" t="s">
        <v>10</v>
      </c>
      <c r="B10" s="10">
        <v>2</v>
      </c>
      <c r="C10" s="10"/>
      <c r="D10" s="10" cm="1">
        <f t="array" ref="D10">SUMPRODUCT(E10:L10/$E$2:$L$2,$E$3:$L$3)*10</f>
        <v>0</v>
      </c>
      <c r="E10" s="11"/>
      <c r="F10" s="11"/>
      <c r="G10" s="11"/>
      <c r="H10" s="11"/>
      <c r="I10" s="11"/>
      <c r="J10" s="11"/>
      <c r="K10" s="12"/>
      <c r="L10" s="13"/>
      <c r="M10" s="12"/>
    </row>
    <row r="11" spans="1:13" ht="15.6" x14ac:dyDescent="0.3">
      <c r="A11" s="10" t="s">
        <v>3</v>
      </c>
      <c r="B11" s="10">
        <f>COUNTIF(ListStudentClass!B:B,Grade!A11)</f>
        <v>4</v>
      </c>
      <c r="C11" s="10"/>
      <c r="D11" s="10" cm="1">
        <f t="array" ref="D11">SUMPRODUCT(E11:L11/$E$2:$L$2,$E$3:$L$3)*10</f>
        <v>0</v>
      </c>
      <c r="E11" s="11"/>
      <c r="F11" s="11"/>
      <c r="G11" s="11"/>
      <c r="H11" s="11"/>
      <c r="I11" s="11"/>
      <c r="J11" s="11"/>
      <c r="K11" s="12"/>
      <c r="L11" s="13"/>
      <c r="M11" s="12"/>
    </row>
    <row r="12" spans="1:13" ht="15.6" x14ac:dyDescent="0.3">
      <c r="A12" s="10" t="s">
        <v>12</v>
      </c>
      <c r="B12" s="10">
        <v>4</v>
      </c>
      <c r="C12" s="10"/>
      <c r="D12" s="10" cm="1">
        <f t="array" ref="D12">SUMPRODUCT(E12:L12/$E$2:$L$2,$E$3:$L$3)*10</f>
        <v>0</v>
      </c>
      <c r="E12" s="14"/>
      <c r="F12" s="14"/>
      <c r="G12" s="14"/>
      <c r="H12" s="14"/>
      <c r="I12" s="14"/>
      <c r="J12" s="14"/>
      <c r="K12" s="12"/>
      <c r="L12" s="13"/>
      <c r="M12" s="12"/>
    </row>
    <row r="25" spans="3:3" x14ac:dyDescent="0.3">
      <c r="C25" s="2" t="s">
        <v>26</v>
      </c>
    </row>
  </sheetData>
  <mergeCells count="1">
    <mergeCell ref="A2:C3"/>
  </mergeCells>
  <dataValidations count="2">
    <dataValidation type="whole" operator="lessThanOrEqual" allowBlank="1" showInputMessage="1" showErrorMessage="1" sqref="E4:H11" xr:uid="{00000000-0002-0000-0000-000000000000}">
      <formula1>15</formula1>
    </dataValidation>
    <dataValidation type="whole" operator="lessThanOrEqual" allowBlank="1" showInputMessage="1" showErrorMessage="1" sqref="I4:J11" xr:uid="{00000000-0002-0000-0000-000001000000}">
      <formula1>20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zoomScaleNormal="100" workbookViewId="0">
      <selection activeCell="J23" sqref="J23"/>
    </sheetView>
  </sheetViews>
  <sheetFormatPr defaultColWidth="14.44140625" defaultRowHeight="15" customHeight="1" x14ac:dyDescent="0.3"/>
  <cols>
    <col min="1" max="1" width="29.33203125" customWidth="1"/>
    <col min="2" max="2" width="10.88671875" customWidth="1"/>
    <col min="3" max="3" width="20.88671875" bestFit="1" customWidth="1"/>
    <col min="4" max="4" width="16.88671875" bestFit="1" customWidth="1"/>
    <col min="5" max="5" width="22.33203125" bestFit="1" customWidth="1"/>
    <col min="6" max="8" width="8.6640625" customWidth="1"/>
    <col min="9" max="9" width="7.109375" bestFit="1" customWidth="1"/>
    <col min="10" max="10" width="6.88671875" customWidth="1"/>
  </cols>
  <sheetData>
    <row r="1" spans="1:10" ht="14.25" customHeight="1" x14ac:dyDescent="0.3">
      <c r="A1" s="15" t="s">
        <v>0</v>
      </c>
      <c r="B1" s="15" t="s">
        <v>1</v>
      </c>
      <c r="C1" s="15" t="s">
        <v>2</v>
      </c>
      <c r="D1" s="15" t="s">
        <v>27</v>
      </c>
      <c r="E1" s="15" t="s">
        <v>28</v>
      </c>
    </row>
    <row r="2" spans="1:10" ht="14.25" customHeight="1" x14ac:dyDescent="0.3">
      <c r="A2" s="6" t="s">
        <v>29</v>
      </c>
      <c r="B2" s="7" t="s">
        <v>4</v>
      </c>
      <c r="C2" s="8" t="s">
        <v>5</v>
      </c>
      <c r="D2" s="20">
        <v>0.25</v>
      </c>
      <c r="E2" s="5">
        <f>Grade!$D$4*ListStudentClass!D2</f>
        <v>2.5</v>
      </c>
      <c r="J2" s="4"/>
    </row>
    <row r="3" spans="1:10" ht="14.25" customHeight="1" x14ac:dyDescent="0.3">
      <c r="A3" s="6" t="s">
        <v>30</v>
      </c>
      <c r="B3" s="7" t="s">
        <v>4</v>
      </c>
      <c r="C3" s="8" t="s">
        <v>13</v>
      </c>
      <c r="D3" s="20">
        <v>1</v>
      </c>
      <c r="E3" s="5">
        <f>Grade!$D$4*ListStudentClass!D3</f>
        <v>10</v>
      </c>
      <c r="J3" s="4"/>
    </row>
    <row r="4" spans="1:10" ht="14.25" customHeight="1" x14ac:dyDescent="0.3">
      <c r="A4" s="6" t="s">
        <v>31</v>
      </c>
      <c r="B4" s="7" t="s">
        <v>4</v>
      </c>
      <c r="C4" s="8" t="s">
        <v>14</v>
      </c>
      <c r="D4" s="20">
        <v>0.25</v>
      </c>
      <c r="E4" s="5">
        <f>Grade!$D$4*ListStudentClass!D4</f>
        <v>2.5</v>
      </c>
      <c r="J4" s="4"/>
    </row>
    <row r="5" spans="1:10" ht="14.25" customHeight="1" x14ac:dyDescent="0.3">
      <c r="A5" s="6" t="s">
        <v>32</v>
      </c>
      <c r="B5" s="7" t="s">
        <v>4</v>
      </c>
      <c r="C5" s="8" t="s">
        <v>15</v>
      </c>
      <c r="D5" s="20">
        <v>0.3</v>
      </c>
      <c r="E5" s="5">
        <f>Grade!$D$4*ListStudentClass!D5</f>
        <v>3</v>
      </c>
      <c r="J5" s="4"/>
    </row>
    <row r="6" spans="1:10" ht="14.25" customHeight="1" x14ac:dyDescent="0.3">
      <c r="A6" s="8"/>
      <c r="B6" s="7" t="s">
        <v>6</v>
      </c>
      <c r="C6" s="8"/>
      <c r="D6" s="9"/>
      <c r="E6" s="5"/>
      <c r="J6" s="4"/>
    </row>
    <row r="7" spans="1:10" ht="14.25" customHeight="1" x14ac:dyDescent="0.3">
      <c r="A7" s="8"/>
      <c r="B7" s="7" t="s">
        <v>6</v>
      </c>
      <c r="C7" s="8"/>
      <c r="D7" s="9"/>
      <c r="E7" s="5"/>
      <c r="J7" s="4"/>
    </row>
    <row r="8" spans="1:10" ht="14.25" customHeight="1" x14ac:dyDescent="0.3">
      <c r="A8" s="8"/>
      <c r="B8" s="7" t="s">
        <v>6</v>
      </c>
      <c r="C8" s="8"/>
      <c r="D8" s="9"/>
      <c r="E8" s="5"/>
      <c r="J8" s="4"/>
    </row>
    <row r="9" spans="1:10" ht="14.25" customHeight="1" x14ac:dyDescent="0.3">
      <c r="A9" s="8"/>
      <c r="B9" s="7" t="s">
        <v>8</v>
      </c>
      <c r="C9" s="8"/>
      <c r="D9" s="9"/>
      <c r="E9" s="5"/>
      <c r="J9" s="4"/>
    </row>
    <row r="10" spans="1:10" ht="14.25" customHeight="1" x14ac:dyDescent="0.3">
      <c r="A10" s="8"/>
      <c r="B10" s="7" t="s">
        <v>8</v>
      </c>
      <c r="C10" s="8"/>
      <c r="D10" s="9"/>
      <c r="E10" s="5"/>
      <c r="J10" s="4"/>
    </row>
    <row r="11" spans="1:10" ht="14.25" customHeight="1" x14ac:dyDescent="0.3">
      <c r="A11" s="8"/>
      <c r="B11" s="7" t="s">
        <v>8</v>
      </c>
      <c r="C11" s="8"/>
      <c r="D11" s="9"/>
      <c r="E11" s="5"/>
    </row>
    <row r="12" spans="1:10" ht="14.25" customHeight="1" x14ac:dyDescent="0.3">
      <c r="A12" s="8"/>
      <c r="B12" s="7" t="s">
        <v>8</v>
      </c>
      <c r="C12" s="8"/>
      <c r="D12" s="9"/>
      <c r="E12" s="5"/>
    </row>
    <row r="13" spans="1:10" ht="14.25" customHeight="1" x14ac:dyDescent="0.3">
      <c r="A13" s="8"/>
      <c r="B13" s="7" t="s">
        <v>9</v>
      </c>
      <c r="C13" s="8"/>
      <c r="D13" s="9"/>
      <c r="E13" s="5"/>
    </row>
    <row r="14" spans="1:10" ht="14.25" customHeight="1" x14ac:dyDescent="0.3">
      <c r="A14" s="8"/>
      <c r="B14" s="7" t="s">
        <v>9</v>
      </c>
      <c r="C14" s="8"/>
      <c r="D14" s="9"/>
      <c r="E14" s="5"/>
    </row>
    <row r="15" spans="1:10" ht="14.25" customHeight="1" x14ac:dyDescent="0.3">
      <c r="A15" s="8"/>
      <c r="B15" s="7" t="s">
        <v>9</v>
      </c>
      <c r="C15" s="8"/>
      <c r="D15" s="9"/>
      <c r="E15" s="5"/>
    </row>
    <row r="16" spans="1:10" ht="14.25" customHeight="1" x14ac:dyDescent="0.3">
      <c r="A16" s="8"/>
      <c r="B16" s="7" t="s">
        <v>9</v>
      </c>
      <c r="C16" s="8"/>
      <c r="D16" s="9"/>
      <c r="E16" s="5"/>
    </row>
    <row r="17" spans="1:5" ht="14.25" customHeight="1" x14ac:dyDescent="0.3">
      <c r="A17" s="8"/>
      <c r="B17" s="7" t="s">
        <v>11</v>
      </c>
      <c r="C17" s="8"/>
      <c r="D17" s="9"/>
      <c r="E17" s="5"/>
    </row>
    <row r="18" spans="1:5" ht="14.25" customHeight="1" x14ac:dyDescent="0.3">
      <c r="A18" s="8"/>
      <c r="B18" s="7" t="s">
        <v>11</v>
      </c>
      <c r="C18" s="8"/>
      <c r="D18" s="9"/>
      <c r="E18" s="5"/>
    </row>
    <row r="19" spans="1:5" ht="14.25" customHeight="1" x14ac:dyDescent="0.3">
      <c r="A19" s="8"/>
      <c r="B19" s="7" t="s">
        <v>11</v>
      </c>
      <c r="C19" s="8"/>
      <c r="D19" s="9"/>
      <c r="E19" s="5"/>
    </row>
    <row r="20" spans="1:5" ht="14.25" customHeight="1" x14ac:dyDescent="0.3">
      <c r="A20" s="8"/>
      <c r="B20" s="7" t="s">
        <v>7</v>
      </c>
      <c r="C20" s="8"/>
      <c r="D20" s="9"/>
      <c r="E20" s="5"/>
    </row>
    <row r="21" spans="1:5" ht="14.25" customHeight="1" x14ac:dyDescent="0.3">
      <c r="A21" s="8"/>
      <c r="B21" s="7" t="s">
        <v>7</v>
      </c>
      <c r="C21" s="8"/>
      <c r="D21" s="9"/>
      <c r="E21" s="5"/>
    </row>
    <row r="22" spans="1:5" ht="14.25" customHeight="1" x14ac:dyDescent="0.3">
      <c r="A22" s="8"/>
      <c r="B22" s="7" t="s">
        <v>7</v>
      </c>
      <c r="C22" s="8"/>
      <c r="D22" s="9"/>
      <c r="E22" s="5"/>
    </row>
    <row r="23" spans="1:5" ht="14.25" customHeight="1" x14ac:dyDescent="0.3">
      <c r="A23" s="8"/>
      <c r="B23" s="7" t="s">
        <v>7</v>
      </c>
      <c r="C23" s="8"/>
      <c r="D23" s="9"/>
      <c r="E23" s="5"/>
    </row>
    <row r="24" spans="1:5" ht="14.25" customHeight="1" x14ac:dyDescent="0.3">
      <c r="A24" s="8"/>
      <c r="B24" s="7" t="s">
        <v>10</v>
      </c>
      <c r="C24" s="8"/>
      <c r="D24" s="9"/>
      <c r="E24" s="5"/>
    </row>
    <row r="25" spans="1:5" ht="14.25" customHeight="1" x14ac:dyDescent="0.3">
      <c r="A25" s="8"/>
      <c r="B25" s="7" t="s">
        <v>10</v>
      </c>
      <c r="C25" s="8"/>
      <c r="D25" s="9"/>
      <c r="E25" s="5"/>
    </row>
    <row r="26" spans="1:5" ht="14.25" customHeight="1" x14ac:dyDescent="0.3">
      <c r="A26" s="8"/>
      <c r="B26" s="7" t="s">
        <v>10</v>
      </c>
      <c r="C26" s="8"/>
      <c r="D26" s="9"/>
      <c r="E26" s="5"/>
    </row>
    <row r="27" spans="1:5" ht="14.25" customHeight="1" x14ac:dyDescent="0.3">
      <c r="A27" s="8"/>
      <c r="B27" s="7" t="s">
        <v>10</v>
      </c>
      <c r="C27" s="8"/>
      <c r="D27" s="9"/>
      <c r="E27" s="5"/>
    </row>
    <row r="28" spans="1:5" ht="14.25" customHeight="1" x14ac:dyDescent="0.3">
      <c r="A28" s="8"/>
      <c r="B28" s="7" t="s">
        <v>3</v>
      </c>
      <c r="C28" s="8"/>
      <c r="D28" s="9"/>
      <c r="E28" s="5"/>
    </row>
    <row r="29" spans="1:5" ht="14.25" customHeight="1" x14ac:dyDescent="0.3">
      <c r="A29" s="8"/>
      <c r="B29" s="7" t="s">
        <v>3</v>
      </c>
      <c r="C29" s="8"/>
      <c r="D29" s="9"/>
      <c r="E29" s="5"/>
    </row>
    <row r="30" spans="1:5" ht="14.25" customHeight="1" x14ac:dyDescent="0.3">
      <c r="A30" s="8"/>
      <c r="B30" s="7" t="s">
        <v>3</v>
      </c>
      <c r="C30" s="8"/>
      <c r="D30" s="9"/>
      <c r="E30" s="5"/>
    </row>
    <row r="31" spans="1:5" ht="14.25" customHeight="1" x14ac:dyDescent="0.3">
      <c r="A31" s="8"/>
      <c r="B31" s="7" t="s">
        <v>3</v>
      </c>
      <c r="C31" s="8"/>
      <c r="D31" s="9"/>
      <c r="E31" s="5"/>
    </row>
    <row r="32" spans="1:5" ht="14.25" customHeight="1" x14ac:dyDescent="0.3">
      <c r="A32" s="8"/>
      <c r="B32" s="7" t="s">
        <v>12</v>
      </c>
      <c r="C32" s="8"/>
      <c r="D32" s="9"/>
      <c r="E32" s="5"/>
    </row>
    <row r="33" spans="1:5" ht="14.25" customHeight="1" x14ac:dyDescent="0.3">
      <c r="A33" s="8"/>
      <c r="B33" s="7" t="s">
        <v>12</v>
      </c>
      <c r="C33" s="8"/>
      <c r="D33" s="9"/>
      <c r="E33" s="5"/>
    </row>
    <row r="34" spans="1:5" ht="14.25" customHeight="1" x14ac:dyDescent="0.3">
      <c r="A34" s="8"/>
      <c r="B34" s="7" t="s">
        <v>12</v>
      </c>
      <c r="C34" s="8"/>
      <c r="D34" s="9"/>
      <c r="E34" s="5"/>
    </row>
    <row r="35" spans="1:5" ht="14.25" customHeight="1" x14ac:dyDescent="0.3">
      <c r="A35" s="8"/>
      <c r="B35" s="7" t="s">
        <v>12</v>
      </c>
      <c r="C35" s="8"/>
      <c r="D35" s="9"/>
      <c r="E35" s="5"/>
    </row>
    <row r="36" spans="1:5" ht="14.25" customHeight="1" x14ac:dyDescent="0.3"/>
    <row r="37" spans="1:5" ht="14.25" customHeight="1" x14ac:dyDescent="0.3"/>
    <row r="38" spans="1:5" ht="14.25" customHeight="1" x14ac:dyDescent="0.3"/>
    <row r="39" spans="1:5" ht="14.25" customHeight="1" x14ac:dyDescent="0.3"/>
    <row r="40" spans="1:5" ht="14.25" customHeight="1" x14ac:dyDescent="0.3"/>
    <row r="41" spans="1:5" ht="14.25" customHeight="1" x14ac:dyDescent="0.3"/>
    <row r="42" spans="1:5" ht="14.25" customHeight="1" x14ac:dyDescent="0.3"/>
    <row r="43" spans="1:5" ht="14.25" customHeight="1" x14ac:dyDescent="0.3"/>
    <row r="44" spans="1:5" ht="14.25" customHeight="1" x14ac:dyDescent="0.3"/>
    <row r="45" spans="1:5" ht="14.25" customHeight="1" x14ac:dyDescent="0.3"/>
    <row r="46" spans="1:5" ht="14.25" customHeight="1" x14ac:dyDescent="0.3"/>
    <row r="47" spans="1:5" ht="14.25" customHeight="1" x14ac:dyDescent="0.3"/>
    <row r="48" spans="1:5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E35" xr:uid="{00000000-0009-0000-0000-000001000000}"/>
  <sortState xmlns:xlrd2="http://schemas.microsoft.com/office/spreadsheetml/2017/richdata2" ref="A2:C35">
    <sortCondition ref="B2:B35"/>
  </sortState>
  <dataValidations count="1">
    <dataValidation type="list" allowBlank="1" showErrorMessage="1" sqref="B2:B35" xr:uid="{00000000-0002-0000-0100-000000000000}">
      <formula1>#REF!</formula1>
    </dataValidation>
  </dataValidations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</hyperlinks>
  <pageMargins left="0.7" right="0.7" top="0.75" bottom="0.75" header="0" footer="0"/>
  <pageSetup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tabSelected="1" zoomScale="175" zoomScaleNormal="175" workbookViewId="0">
      <selection activeCell="C7" sqref="C7"/>
    </sheetView>
  </sheetViews>
  <sheetFormatPr defaultColWidth="8.88671875" defaultRowHeight="13.2" x14ac:dyDescent="0.25"/>
  <cols>
    <col min="1" max="1" width="3" style="1" customWidth="1"/>
    <col min="2" max="2" width="46.6640625" style="1" customWidth="1"/>
    <col min="3" max="3" width="96.6640625" style="1" bestFit="1" customWidth="1"/>
    <col min="4" max="4" width="18.44140625" style="1" customWidth="1"/>
    <col min="5" max="16384" width="8.88671875" style="1"/>
  </cols>
  <sheetData>
    <row r="1" spans="1:4" ht="15.6" x14ac:dyDescent="0.3">
      <c r="A1" s="21" t="s">
        <v>16</v>
      </c>
      <c r="B1" s="22" t="s">
        <v>17</v>
      </c>
      <c r="C1" s="22" t="s">
        <v>18</v>
      </c>
      <c r="D1" s="22" t="s">
        <v>19</v>
      </c>
    </row>
    <row r="2" spans="1:4" ht="15.6" x14ac:dyDescent="0.3">
      <c r="A2" s="23">
        <v>1</v>
      </c>
      <c r="B2" s="24" t="s">
        <v>20</v>
      </c>
      <c r="C2" s="25" t="s">
        <v>51</v>
      </c>
      <c r="D2" s="23">
        <v>10</v>
      </c>
    </row>
    <row r="3" spans="1:4" ht="15.6" x14ac:dyDescent="0.3">
      <c r="A3" s="23">
        <v>2</v>
      </c>
      <c r="B3" s="26" t="s">
        <v>39</v>
      </c>
      <c r="C3" s="25" t="s">
        <v>52</v>
      </c>
      <c r="D3" s="23">
        <v>5</v>
      </c>
    </row>
    <row r="4" spans="1:4" ht="15.6" x14ac:dyDescent="0.3">
      <c r="A4" s="23">
        <v>3</v>
      </c>
      <c r="B4" s="26" t="s">
        <v>40</v>
      </c>
      <c r="C4" s="25" t="s">
        <v>53</v>
      </c>
      <c r="D4" s="23">
        <v>5</v>
      </c>
    </row>
    <row r="5" spans="1:4" ht="15.6" x14ac:dyDescent="0.3">
      <c r="A5" s="23">
        <v>4</v>
      </c>
      <c r="B5" s="26" t="s">
        <v>41</v>
      </c>
      <c r="C5" s="25" t="s">
        <v>54</v>
      </c>
      <c r="D5" s="23">
        <v>20</v>
      </c>
    </row>
    <row r="6" spans="1:4" ht="15.6" x14ac:dyDescent="0.3">
      <c r="A6" s="23">
        <v>5</v>
      </c>
      <c r="B6" s="26" t="s">
        <v>42</v>
      </c>
      <c r="C6" s="25" t="s">
        <v>55</v>
      </c>
      <c r="D6" s="23">
        <v>10</v>
      </c>
    </row>
    <row r="7" spans="1:4" ht="15.6" x14ac:dyDescent="0.3">
      <c r="A7" s="23">
        <v>6</v>
      </c>
      <c r="B7" s="26" t="s">
        <v>43</v>
      </c>
      <c r="C7" s="25" t="s">
        <v>56</v>
      </c>
      <c r="D7" s="23">
        <v>5</v>
      </c>
    </row>
    <row r="8" spans="1:4" ht="15.6" x14ac:dyDescent="0.3">
      <c r="A8" s="23">
        <v>7</v>
      </c>
      <c r="B8" s="26" t="s">
        <v>44</v>
      </c>
      <c r="C8" s="25" t="s">
        <v>57</v>
      </c>
      <c r="D8" s="23">
        <v>25</v>
      </c>
    </row>
    <row r="9" spans="1:4" ht="15.6" x14ac:dyDescent="0.3">
      <c r="A9" s="23">
        <v>8</v>
      </c>
      <c r="B9" s="24" t="s">
        <v>21</v>
      </c>
      <c r="C9" s="25" t="s">
        <v>58</v>
      </c>
      <c r="D9" s="23">
        <v>20</v>
      </c>
    </row>
    <row r="10" spans="1:4" ht="15.6" x14ac:dyDescent="0.3">
      <c r="A10" s="23"/>
      <c r="B10" s="21" t="s">
        <v>22</v>
      </c>
      <c r="C10" s="27"/>
      <c r="D10" s="21">
        <f>SUM(D2:D9)</f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Grade</vt:lpstr>
      <vt:lpstr>ListStudentClass</vt:lpstr>
      <vt:lpstr>Rubrics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 Nhat Tung</cp:lastModifiedBy>
  <dcterms:created xsi:type="dcterms:W3CDTF">2024-05-01T12:03:55Z</dcterms:created>
  <dcterms:modified xsi:type="dcterms:W3CDTF">2026-01-05T00:42:48Z</dcterms:modified>
</cp:coreProperties>
</file>